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able" sheetId="1" state="visible" r:id="rId1"/>
    <sheet xmlns:r="http://schemas.openxmlformats.org/officeDocument/2006/relationships" name="Comparison &amp; Chart" sheetId="2" state="visible" r:id="rId2"/>
    <sheet xmlns:r="http://schemas.openxmlformats.org/officeDocument/2006/relationships" name="Executive Summary" sheetId="3" state="visible" r:id="rId3"/>
    <sheet xmlns:r="http://schemas.openxmlformats.org/officeDocument/2006/relationships" name="Assumptions" sheetId="4" state="visible" r:id="rId4"/>
  </sheets>
  <definedNames/>
  <calcPr calcId="124519" fullCalcOnLoad="1"/>
</workbook>
</file>

<file path=xl/styles.xml><?xml version="1.0" encoding="utf-8"?>
<styleSheet xmlns="http://schemas.openxmlformats.org/spreadsheetml/2006/main">
  <numFmts count="2">
    <numFmt numFmtId="164" formatCode="&quot;$&quot;#,##0"/>
    <numFmt numFmtId="165" formatCode="$#,##0"/>
  </numFmts>
  <fonts count="11">
    <font>
      <name val="Calibri"/>
      <family val="2"/>
      <color theme="1"/>
      <sz val="11"/>
      <scheme val="minor"/>
    </font>
    <font>
      <name val="Arial"/>
      <b val="1"/>
      <color rgb="00FFFFFF"/>
      <sz val="16"/>
    </font>
    <font>
      <b val="1"/>
    </font>
    <font>
      <b val="1"/>
      <sz val="12"/>
    </font>
    <font>
      <b val="1"/>
      <color rgb="00FFFFFF"/>
    </font>
    <font>
      <b val="1"/>
      <color rgb="00000000"/>
    </font>
    <font>
      <color rgb="000000FF"/>
    </font>
    <font>
      <name val="Arial"/>
      <b val="1"/>
      <color rgb="00FFFFFF"/>
      <sz val="14"/>
    </font>
    <font>
      <name val="Arial"/>
      <b val="1"/>
      <color rgb="00FFFFFF"/>
    </font>
    <font>
      <name val="Arial"/>
      <b val="1"/>
      <color rgb="001F4E78"/>
      <sz val="12"/>
    </font>
    <font>
      <name val="Arial"/>
      <b val="1"/>
    </font>
  </fonts>
  <fills count="7">
    <fill>
      <patternFill/>
    </fill>
    <fill>
      <patternFill patternType="gray125"/>
    </fill>
    <fill>
      <patternFill patternType="solid">
        <fgColor rgb="001F4E78"/>
        <bgColor rgb="001F4E78"/>
      </patternFill>
    </fill>
    <fill>
      <patternFill patternType="solid">
        <fgColor rgb="00A9D08E"/>
        <bgColor rgb="00A9D08E"/>
      </patternFill>
    </fill>
    <fill>
      <patternFill patternType="solid">
        <fgColor rgb="00FFD966"/>
        <bgColor rgb="00FFD966"/>
      </patternFill>
    </fill>
    <fill>
      <patternFill patternType="solid">
        <fgColor rgb="00F4B084"/>
        <bgColor rgb="00F4B084"/>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xf>
    <xf numFmtId="0" fontId="3" fillId="4" borderId="0" applyAlignment="1" pivotButton="0" quotePrefix="0" xfId="0">
      <alignment horizontal="center"/>
    </xf>
    <xf numFmtId="0" fontId="3" fillId="5" borderId="0" applyAlignment="1" pivotButton="0" quotePrefix="0" xfId="0">
      <alignment horizontal="center"/>
    </xf>
    <xf numFmtId="0" fontId="4" fillId="2" borderId="1" applyAlignment="1" pivotButton="0" quotePrefix="0" xfId="0">
      <alignment horizontal="center"/>
    </xf>
    <xf numFmtId="0" fontId="5" fillId="6" borderId="1" pivotButton="0" quotePrefix="0" xfId="0"/>
    <xf numFmtId="164" fontId="6" fillId="0" borderId="1" applyAlignment="1" pivotButton="0" quotePrefix="0" xfId="0">
      <alignment horizontal="right"/>
    </xf>
    <xf numFmtId="9" fontId="6" fillId="0" borderId="1" applyAlignment="1" pivotButton="0" quotePrefix="0" xfId="0">
      <alignment horizontal="right"/>
    </xf>
    <xf numFmtId="164" fontId="0" fillId="0" borderId="1" pivotButton="0" quotePrefix="0" xfId="0"/>
    <xf numFmtId="0" fontId="4" fillId="2" borderId="1" pivotButton="0" quotePrefix="0" xfId="0"/>
    <xf numFmtId="164" fontId="4" fillId="2" borderId="1" pivotButton="0" quotePrefix="0" xfId="0"/>
    <xf numFmtId="0" fontId="6" fillId="0" borderId="1" applyAlignment="1" pivotButton="0" quotePrefix="0" xfId="0">
      <alignment horizontal="right"/>
    </xf>
    <xf numFmtId="164" fontId="0" fillId="0" borderId="1" applyAlignment="1" pivotButton="0" quotePrefix="0" xfId="0">
      <alignment horizontal="right"/>
    </xf>
    <xf numFmtId="0" fontId="3" fillId="0" borderId="0" pivotButton="0" quotePrefix="0" xfId="0"/>
    <xf numFmtId="0" fontId="0" fillId="0" borderId="0" applyAlignment="1" pivotButton="0" quotePrefix="0" xfId="0">
      <alignment wrapText="1"/>
    </xf>
    <xf numFmtId="0" fontId="7" fillId="2" borderId="0" pivotButton="0" quotePrefix="0" xfId="0"/>
    <xf numFmtId="0" fontId="8" fillId="2" borderId="1" applyAlignment="1" pivotButton="0" quotePrefix="0" xfId="0">
      <alignment horizontal="center" wrapText="1"/>
    </xf>
    <xf numFmtId="0" fontId="0" fillId="3" borderId="1" pivotButton="0" quotePrefix="0" xfId="0"/>
    <xf numFmtId="165" fontId="0" fillId="0" borderId="1" pivotButton="0" quotePrefix="0" xfId="0"/>
    <xf numFmtId="0" fontId="0" fillId="0" borderId="1" applyAlignment="1" pivotButton="0" quotePrefix="0" xfId="0">
      <alignment horizontal="center"/>
    </xf>
    <xf numFmtId="0" fontId="0" fillId="4" borderId="1" pivotButton="0" quotePrefix="0" xfId="0"/>
    <xf numFmtId="0" fontId="0" fillId="5" borderId="1" pivotButton="0" quotePrefix="0" xfId="0"/>
    <xf numFmtId="0" fontId="9" fillId="0" borderId="0" pivotButton="0" quotePrefix="0" xfId="0"/>
    <xf numFmtId="0" fontId="0" fillId="0" borderId="0" applyAlignment="1" pivotButton="0" quotePrefix="0" xfId="0">
      <alignment horizontal="justify" vertical="top" wrapText="1"/>
    </xf>
    <xf numFmtId="0" fontId="1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1"/>
  <chart>
    <title>
      <tx>
        <rich>
          <a:bodyPr xmlns:a="http://schemas.openxmlformats.org/drawingml/2006/main"/>
          <a:p xmlns:a="http://schemas.openxmlformats.org/drawingml/2006/main">
            <a:pPr>
              <a:defRPr/>
            </a:pPr>
            <a:r>
              <a:t>Net Wholesale Revenue after Marketing Allowance by Scenario</a:t>
            </a:r>
          </a:p>
        </rich>
      </tx>
    </title>
    <plotArea>
      <barChart>
        <barDir val="col"/>
        <grouping val="clustered"/>
        <ser>
          <idx val="0"/>
          <order val="0"/>
          <tx>
            <strRef>
              <f>'Comparison &amp; Chart'!E4</f>
            </strRef>
          </tx>
          <spPr>
            <a:ln xmlns:a="http://schemas.openxmlformats.org/drawingml/2006/main">
              <a:prstDash val="solid"/>
            </a:ln>
          </spPr>
          <cat>
            <numRef>
              <f>'Comparison &amp; Chart'!$B$5:$B$7</f>
            </numRef>
          </cat>
          <val>
            <numRef>
              <f>'Comparison &amp; Chart'!$E$5:$E$7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Scenario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9</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T19"/>
  <sheetViews>
    <sheetView workbookViewId="0">
      <selection activeCell="A1" sqref="A1"/>
    </sheetView>
  </sheetViews>
  <sheetFormatPr baseColWidth="8" defaultRowHeight="15"/>
  <cols>
    <col width="2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s>
  <sheetData>
    <row r="2" ht="28" customHeight="1">
      <c r="B2" s="1" t="inlineStr">
        <is>
          <t>CosmoGenics: Terms Proposal</t>
        </is>
      </c>
    </row>
    <row r="4">
      <c r="B4" s="2" t="inlineStr">
        <is>
          <t>Scenario</t>
        </is>
      </c>
      <c r="D4" s="3" t="inlineStr">
        <is>
          <t>Scenario A</t>
        </is>
      </c>
      <c r="J4" s="4" t="inlineStr">
        <is>
          <t>Scenario B</t>
        </is>
      </c>
      <c r="P4" s="5" t="inlineStr">
        <is>
          <t>Scenario C</t>
        </is>
      </c>
    </row>
    <row r="5">
      <c r="B5" s="2" t="inlineStr">
        <is>
          <t>Quarter</t>
        </is>
      </c>
      <c r="D5" s="6" t="inlineStr">
        <is>
          <t>Q1</t>
        </is>
      </c>
      <c r="E5" s="6" t="inlineStr">
        <is>
          <t>Q2</t>
        </is>
      </c>
      <c r="F5" s="6" t="inlineStr">
        <is>
          <t>Q3</t>
        </is>
      </c>
      <c r="G5" s="6" t="inlineStr">
        <is>
          <t>Q4</t>
        </is>
      </c>
      <c r="H5" s="6" t="inlineStr">
        <is>
          <t>2026</t>
        </is>
      </c>
      <c r="J5" s="6" t="inlineStr">
        <is>
          <t>Q1</t>
        </is>
      </c>
      <c r="K5" s="6" t="inlineStr">
        <is>
          <t>Q2</t>
        </is>
      </c>
      <c r="L5" s="6" t="inlineStr">
        <is>
          <t>Q3</t>
        </is>
      </c>
      <c r="M5" s="6" t="inlineStr">
        <is>
          <t>Q4</t>
        </is>
      </c>
      <c r="N5" s="6" t="inlineStr">
        <is>
          <t>2026</t>
        </is>
      </c>
      <c r="P5" s="6" t="inlineStr">
        <is>
          <t>Q1</t>
        </is>
      </c>
      <c r="Q5" s="6" t="inlineStr">
        <is>
          <t>Q2</t>
        </is>
      </c>
      <c r="R5" s="6" t="inlineStr">
        <is>
          <t>Q3</t>
        </is>
      </c>
      <c r="S5" s="6" t="inlineStr">
        <is>
          <t>Q4</t>
        </is>
      </c>
      <c r="T5" s="6" t="inlineStr">
        <is>
          <t>2026</t>
        </is>
      </c>
    </row>
    <row r="6">
      <c r="B6" s="7" t="inlineStr">
        <is>
          <t>Retail Sales ($)</t>
        </is>
      </c>
      <c r="D6" s="8" t="n">
        <v>30000</v>
      </c>
      <c r="E6" s="8" t="n">
        <v>40000</v>
      </c>
      <c r="F6" s="8" t="n">
        <v>55000</v>
      </c>
      <c r="G6" s="8" t="n">
        <v>75000</v>
      </c>
      <c r="H6" s="8">
        <f>SUM(D6:G6)</f>
        <v/>
      </c>
      <c r="J6" s="8" t="n">
        <v>30000</v>
      </c>
      <c r="K6" s="8" t="n">
        <v>40000</v>
      </c>
      <c r="L6" s="8" t="n">
        <v>55000</v>
      </c>
      <c r="M6" s="8" t="n">
        <v>75000</v>
      </c>
      <c r="N6" s="8">
        <f>SUM(J6:M6)</f>
        <v/>
      </c>
      <c r="P6" s="8" t="n">
        <v>30000</v>
      </c>
      <c r="Q6" s="8" t="n">
        <v>40000</v>
      </c>
      <c r="R6" s="8" t="n">
        <v>55000</v>
      </c>
      <c r="S6" s="8" t="n">
        <v>75000</v>
      </c>
      <c r="T6" s="8">
        <f>SUM(P6:S6)</f>
        <v/>
      </c>
    </row>
    <row r="7">
      <c r="B7" s="7" t="inlineStr">
        <is>
          <t>Retailer Margin (%)</t>
        </is>
      </c>
      <c r="D7" s="9" t="n">
        <v>0.4</v>
      </c>
      <c r="E7" s="9" t="n">
        <v>0.4</v>
      </c>
      <c r="F7" s="9" t="n">
        <v>0.4</v>
      </c>
      <c r="G7" s="9" t="n">
        <v>0.4</v>
      </c>
      <c r="H7" s="9" t="n">
        <v>0.4</v>
      </c>
      <c r="J7" s="9" t="n">
        <v>0.45</v>
      </c>
      <c r="K7" s="9" t="n">
        <v>0.45</v>
      </c>
      <c r="L7" s="9" t="n">
        <v>0.45</v>
      </c>
      <c r="M7" s="9" t="n">
        <v>0.45</v>
      </c>
      <c r="N7" s="9" t="n">
        <v>0.45</v>
      </c>
      <c r="P7" s="9" t="n">
        <v>0.5</v>
      </c>
      <c r="Q7" s="9" t="n">
        <v>0.5</v>
      </c>
      <c r="R7" s="9" t="n">
        <v>0.5</v>
      </c>
      <c r="S7" s="9" t="n">
        <v>0.5</v>
      </c>
      <c r="T7" s="9" t="n">
        <v>0.5</v>
      </c>
    </row>
    <row r="8">
      <c r="B8" s="7" t="inlineStr">
        <is>
          <t>Shipments at Retail ($)</t>
        </is>
      </c>
      <c r="D8" s="8" t="n">
        <v>70000</v>
      </c>
      <c r="E8" s="8" t="n">
        <v>80000</v>
      </c>
      <c r="F8" s="8" t="n">
        <v>80000</v>
      </c>
      <c r="G8" s="8" t="n">
        <v>25000</v>
      </c>
      <c r="H8" s="8">
        <f>SUM(D8:G8)</f>
        <v/>
      </c>
      <c r="J8" s="8" t="n">
        <v>70000</v>
      </c>
      <c r="K8" s="8" t="n">
        <v>80000</v>
      </c>
      <c r="L8" s="8" t="n">
        <v>80000</v>
      </c>
      <c r="M8" s="8" t="n">
        <v>25000</v>
      </c>
      <c r="N8" s="8">
        <f>SUM(J8:M8)</f>
        <v/>
      </c>
      <c r="P8" s="8" t="n">
        <v>70000</v>
      </c>
      <c r="Q8" s="8" t="n">
        <v>80000</v>
      </c>
      <c r="R8" s="8" t="n">
        <v>80000</v>
      </c>
      <c r="S8" s="8" t="n">
        <v>25000</v>
      </c>
      <c r="T8" s="8">
        <f>SUM(P8:S8)</f>
        <v/>
      </c>
    </row>
    <row r="9">
      <c r="B9" s="7" t="inlineStr">
        <is>
          <t>Wholesale Revenue ($)</t>
        </is>
      </c>
      <c r="D9" s="10">
        <f>(100%-D7)*D8</f>
        <v/>
      </c>
      <c r="E9" s="10">
        <f>(100%-E7)*E8</f>
        <v/>
      </c>
      <c r="F9" s="10">
        <f>(100%-F7)*F8</f>
        <v/>
      </c>
      <c r="G9" s="10">
        <f>(100%-G7)*G8</f>
        <v/>
      </c>
      <c r="H9" s="10">
        <f>SUM(D9:G9)</f>
        <v/>
      </c>
      <c r="J9" s="10">
        <f>(100%-J7)*J8</f>
        <v/>
      </c>
      <c r="K9" s="10">
        <f>(100%-K7)*K8</f>
        <v/>
      </c>
      <c r="L9" s="10">
        <f>(100%-L7)*L8</f>
        <v/>
      </c>
      <c r="M9" s="10">
        <f>(100%-M7)*M8</f>
        <v/>
      </c>
      <c r="N9" s="10">
        <f>SUM(J9:M9)</f>
        <v/>
      </c>
      <c r="P9" s="10">
        <f>(100%-P7)*P8</f>
        <v/>
      </c>
      <c r="Q9" s="10">
        <f>(100%-Q7)*Q8</f>
        <v/>
      </c>
      <c r="R9" s="10">
        <f>(100%-R7)*R8</f>
        <v/>
      </c>
      <c r="S9" s="10">
        <f>(100%-S7)*S8</f>
        <v/>
      </c>
      <c r="T9" s="10">
        <f>SUM(P9:S9)</f>
        <v/>
      </c>
    </row>
    <row r="10">
      <c r="B10" s="7" t="inlineStr">
        <is>
          <t>Marketing Allowance ($)</t>
        </is>
      </c>
      <c r="D10" s="10">
        <f>D11*D8</f>
        <v/>
      </c>
      <c r="E10" s="10">
        <f>E11*E8</f>
        <v/>
      </c>
      <c r="F10" s="10">
        <f>F11*F8</f>
        <v/>
      </c>
      <c r="G10" s="10">
        <f>G11*G8</f>
        <v/>
      </c>
      <c r="H10" s="10">
        <f>SUM(D10:G10)</f>
        <v/>
      </c>
      <c r="J10" s="10">
        <f>J11*J8</f>
        <v/>
      </c>
      <c r="K10" s="10">
        <f>K11*K8</f>
        <v/>
      </c>
      <c r="L10" s="10">
        <f>L11*L8</f>
        <v/>
      </c>
      <c r="M10" s="10">
        <f>M11*M8</f>
        <v/>
      </c>
      <c r="N10" s="10">
        <f>SUM(J10:M10)</f>
        <v/>
      </c>
      <c r="P10" s="10">
        <f>P11*P8</f>
        <v/>
      </c>
      <c r="Q10" s="10">
        <f>Q11*Q8</f>
        <v/>
      </c>
      <c r="R10" s="10">
        <f>R11*R8</f>
        <v/>
      </c>
      <c r="S10" s="10">
        <f>S11*S8</f>
        <v/>
      </c>
      <c r="T10" s="10">
        <f>SUM(P10:S10)</f>
        <v/>
      </c>
    </row>
    <row r="11">
      <c r="B11" s="7" t="inlineStr">
        <is>
          <t>Marketing Allowance (%)</t>
        </is>
      </c>
      <c r="D11" s="9" t="n">
        <v>0.03</v>
      </c>
      <c r="E11" s="9" t="n">
        <v>0.03</v>
      </c>
      <c r="F11" s="9" t="n">
        <v>0.03</v>
      </c>
      <c r="G11" s="9" t="n">
        <v>0.03</v>
      </c>
      <c r="H11" s="9" t="n">
        <v>0.03</v>
      </c>
      <c r="J11" s="9" t="n">
        <v>0.04</v>
      </c>
      <c r="K11" s="9" t="n">
        <v>0.04</v>
      </c>
      <c r="L11" s="9" t="n">
        <v>0.04</v>
      </c>
      <c r="M11" s="9" t="n">
        <v>0.04</v>
      </c>
      <c r="N11" s="9" t="n">
        <v>0.04</v>
      </c>
      <c r="P11" s="9" t="n">
        <v>0.04</v>
      </c>
      <c r="Q11" s="9" t="n">
        <v>0.04</v>
      </c>
      <c r="R11" s="9" t="n">
        <v>0.04</v>
      </c>
      <c r="S11" s="9" t="n">
        <v>0.04</v>
      </c>
      <c r="T11" s="9" t="n">
        <v>0.04</v>
      </c>
    </row>
    <row r="12">
      <c r="B12" s="11" t="inlineStr">
        <is>
          <t>Net Wholesale Revenue ($)</t>
        </is>
      </c>
      <c r="D12" s="12">
        <f>D9-D10</f>
        <v/>
      </c>
      <c r="E12" s="12">
        <f>E9-E10</f>
        <v/>
      </c>
      <c r="F12" s="12">
        <f>F9-F10</f>
        <v/>
      </c>
      <c r="G12" s="12">
        <f>G9-G10</f>
        <v/>
      </c>
      <c r="H12" s="12">
        <f>SUM(D12:G12)</f>
        <v/>
      </c>
      <c r="J12" s="12">
        <f>J9-J10</f>
        <v/>
      </c>
      <c r="K12" s="12">
        <f>K9-K10</f>
        <v/>
      </c>
      <c r="L12" s="12">
        <f>L9-L10</f>
        <v/>
      </c>
      <c r="M12" s="12">
        <f>M9-M10</f>
        <v/>
      </c>
      <c r="N12" s="12">
        <f>SUM(J12:M12)</f>
        <v/>
      </c>
      <c r="P12" s="12">
        <f>P9-P10</f>
        <v/>
      </c>
      <c r="Q12" s="12">
        <f>Q9-Q10</f>
        <v/>
      </c>
      <c r="R12" s="12">
        <f>R9-R10</f>
        <v/>
      </c>
      <c r="S12" s="12">
        <f>S9-S10</f>
        <v/>
      </c>
      <c r="T12" s="12">
        <f>SUM(P12:S12)</f>
        <v/>
      </c>
    </row>
    <row r="13">
      <c r="B13" s="7" t="inlineStr">
        <is>
          <t>Payment Terms (days)</t>
        </is>
      </c>
      <c r="D13" s="13" t="n">
        <v>30</v>
      </c>
      <c r="E13" s="13" t="n">
        <v>30</v>
      </c>
      <c r="F13" s="13" t="n">
        <v>30</v>
      </c>
      <c r="G13" s="13" t="n">
        <v>30</v>
      </c>
      <c r="H13" s="13" t="n"/>
      <c r="J13" s="13" t="n">
        <v>60</v>
      </c>
      <c r="K13" s="13" t="n">
        <v>60</v>
      </c>
      <c r="L13" s="13" t="n">
        <v>60</v>
      </c>
      <c r="M13" s="13" t="n">
        <v>60</v>
      </c>
      <c r="N13" s="13" t="n"/>
      <c r="P13" s="13" t="n">
        <v>60</v>
      </c>
      <c r="Q13" s="13" t="n">
        <v>60</v>
      </c>
      <c r="R13" s="13" t="n">
        <v>60</v>
      </c>
      <c r="S13" s="13" t="n">
        <v>60</v>
      </c>
      <c r="T13" s="13" t="n"/>
    </row>
    <row r="14">
      <c r="B14" s="7" t="inlineStr">
        <is>
          <t>Cash Receipts ($)</t>
        </is>
      </c>
      <c r="D14" s="14">
        <f>0</f>
        <v/>
      </c>
      <c r="E14" s="14">
        <f>D9</f>
        <v/>
      </c>
      <c r="F14" s="14">
        <f>E9</f>
        <v/>
      </c>
      <c r="G14" s="14">
        <f>F9</f>
        <v/>
      </c>
      <c r="H14" s="14">
        <f>SUM(D14:G14)+G9</f>
        <v/>
      </c>
      <c r="J14" s="14">
        <f>0</f>
        <v/>
      </c>
      <c r="K14" s="14">
        <f>0</f>
        <v/>
      </c>
      <c r="L14" s="14">
        <f>J9</f>
        <v/>
      </c>
      <c r="M14" s="14">
        <f>K9</f>
        <v/>
      </c>
      <c r="N14" s="14">
        <f>SUM(J14:M14)+L9+M9</f>
        <v/>
      </c>
      <c r="P14" s="14">
        <f>0</f>
        <v/>
      </c>
      <c r="Q14" s="14">
        <f>0</f>
        <v/>
      </c>
      <c r="R14" s="14">
        <f>P9</f>
        <v/>
      </c>
      <c r="S14" s="14">
        <f>Q9</f>
        <v/>
      </c>
      <c r="T14" s="14">
        <f>SUM(P14:S14)+R9+S9</f>
        <v/>
      </c>
    </row>
    <row r="16">
      <c r="B16" s="15" t="inlineStr">
        <is>
          <t>Fixed Assumptions</t>
        </is>
      </c>
    </row>
    <row r="17" ht="30" customHeight="1">
      <c r="B17" s="16" t="inlineStr">
        <is>
          <t>• MSRP convention: retailer assumes responsibility for markdowns (no markdown deductions applied by brand).</t>
        </is>
      </c>
    </row>
    <row r="18" ht="30" customHeight="1">
      <c r="B18" s="16" t="inlineStr">
        <is>
          <t>• Cash Receipts: Net 30 shifts receipts by 1 quarter; Net 60 by 2 quarters. Annual cash receipts equal annual Wholesale Revenue.</t>
        </is>
      </c>
    </row>
    <row r="19" ht="30" customHeight="1">
      <c r="B19" s="16" t="inlineStr">
        <is>
          <t>• Pipeline: AI-generated scenarios (Claude Opus 4.7) → Pydantic validation → deterministic arithmetic recompute → openpyxl rendering.</t>
        </is>
      </c>
    </row>
  </sheetData>
  <mergeCells count="7">
    <mergeCell ref="J4:N4"/>
    <mergeCell ref="P4:T4"/>
    <mergeCell ref="B19:J19"/>
    <mergeCell ref="B17:J17"/>
    <mergeCell ref="B18:J18"/>
    <mergeCell ref="D4:H4"/>
    <mergeCell ref="B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7"/>
  <sheetViews>
    <sheetView workbookViewId="0">
      <selection activeCell="A1" sqref="A1"/>
    </sheetView>
  </sheetViews>
  <sheetFormatPr baseColWidth="8" defaultRowHeight="15"/>
  <cols>
    <col width="16" customWidth="1" min="2" max="2"/>
    <col width="22" customWidth="1" min="3" max="3"/>
    <col width="22" customWidth="1" min="4" max="4"/>
    <col width="22" customWidth="1" min="5" max="5"/>
    <col width="16" customWidth="1" min="6" max="6"/>
  </cols>
  <sheetData>
    <row r="2">
      <c r="B2" s="17" t="inlineStr">
        <is>
          <t>Yearly Comparison: Wholesale vs Net Wholesale Revenue</t>
        </is>
      </c>
    </row>
    <row r="4">
      <c r="B4" s="18" t="inlineStr">
        <is>
          <t>Scenario</t>
        </is>
      </c>
      <c r="C4" s="18" t="inlineStr">
        <is>
          <t>Wholesale Revenue ($</t>
        </is>
      </c>
      <c r="D4" s="18" t="inlineStr">
        <is>
          <t>Marketing Allowance ($</t>
        </is>
      </c>
      <c r="E4" s="18" t="inlineStr">
        <is>
          <t>Net Wholesale Revenue ($</t>
        </is>
      </c>
      <c r="F4" s="18" t="inlineStr">
        <is>
          <t>Cash Flow Lag</t>
        </is>
      </c>
    </row>
    <row r="5">
      <c r="B5" s="19" t="inlineStr">
        <is>
          <t>Scenario A</t>
        </is>
      </c>
      <c r="C5" s="20">
        <f>'Deliverable'!H9</f>
        <v/>
      </c>
      <c r="D5" s="20">
        <f>'Deliverable'!H10</f>
        <v/>
      </c>
      <c r="E5" s="20">
        <f>'Deliverable'!H12</f>
        <v/>
      </c>
      <c r="F5" s="21" t="inlineStr">
        <is>
          <t>1 Quarter</t>
        </is>
      </c>
    </row>
    <row r="6">
      <c r="B6" s="22" t="inlineStr">
        <is>
          <t>Scenario B</t>
        </is>
      </c>
      <c r="C6" s="20">
        <f>'Deliverable'!N9</f>
        <v/>
      </c>
      <c r="D6" s="20">
        <f>'Deliverable'!N10</f>
        <v/>
      </c>
      <c r="E6" s="20">
        <f>'Deliverable'!N12</f>
        <v/>
      </c>
      <c r="F6" s="21" t="inlineStr">
        <is>
          <t>2 Quarters</t>
        </is>
      </c>
    </row>
    <row r="7">
      <c r="B7" s="23" t="inlineStr">
        <is>
          <t>Scenario C</t>
        </is>
      </c>
      <c r="C7" s="20">
        <f>'Deliverable'!T9</f>
        <v/>
      </c>
      <c r="D7" s="20">
        <f>'Deliverable'!T10</f>
        <v/>
      </c>
      <c r="E7" s="20">
        <f>'Deliverable'!T12</f>
        <v/>
      </c>
      <c r="F7" s="21" t="inlineStr">
        <is>
          <t>2 Quarters</t>
        </is>
      </c>
    </row>
  </sheetData>
  <mergeCells count="1">
    <mergeCell ref="B2:F2"/>
  </mergeCells>
  <conditionalFormatting sqref="E5:E7">
    <cfRule type="colorScale" priority="1">
      <colorScale>
        <cfvo type="min"/>
        <cfvo type="percentile" val="50"/>
        <cfvo type="max"/>
        <color rgb="00F8696B"/>
        <color rgb="00FFEB84"/>
        <color rgb="0063BE7B"/>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2:H16"/>
  <sheetViews>
    <sheetView workbookViewId="0">
      <selection activeCell="A1" sqref="A1"/>
    </sheetView>
  </sheetViews>
  <sheetFormatPr baseColWidth="8" defaultRowHeight="15"/>
  <sheetData>
    <row r="2">
      <c r="B2" s="17" t="inlineStr">
        <is>
          <t>Executive Summary</t>
        </is>
      </c>
    </row>
    <row r="4">
      <c r="B4" s="24" t="inlineStr">
        <is>
          <t>Recommendation: Scenario B</t>
        </is>
      </c>
    </row>
    <row r="6">
      <c r="B6" s="25" t="inlineStr">
        <is>
          <t>I recommend Scenario B for the CosmoGenics account, which delivers a Total NWSR of $130,050.00 while balancing partner enablement with margin discipline. The Net 60 payment terms directly address CosmoGenics' cash flow needs during their rapid expansion phase, giving them the runway to scale operations without liquidity strain. The 4% marketing allowance provides sufficient co-op funding to power their geo-targeted social activations and live-stream campaigns in priority DMAs. At a 45% margin, we preserve healthy profitability while still demonstrating partnership commitment. The clear trade-off is that we sacrifice approximately $15,300 in NWSR versus Scenario A's shorter-terms structure, and we extend our DSO by 30 days, increasing working capital exposure. On balance, this concession is justified by the strategic upside of locking in a high-growth account and accelerating sell-through via funded digital activations.</t>
        </is>
      </c>
    </row>
    <row r="7"/>
    <row r="8"/>
    <row r="9"/>
    <row r="10"/>
    <row r="11"/>
    <row r="12"/>
    <row r="13"/>
    <row r="14"/>
    <row r="15"/>
    <row r="16"/>
  </sheetData>
  <mergeCells count="2">
    <mergeCell ref="B2:H2"/>
    <mergeCell ref="B6:H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6"/>
  <sheetViews>
    <sheetView workbookViewId="0">
      <selection activeCell="A1" sqref="A1"/>
    </sheetView>
  </sheetViews>
  <sheetFormatPr baseColWidth="8" defaultRowHeight="15"/>
  <cols>
    <col width="22" customWidth="1" min="2" max="2"/>
    <col width="60" customWidth="1" min="3" max="3"/>
  </cols>
  <sheetData>
    <row r="2">
      <c r="B2" s="17" t="inlineStr">
        <is>
          <t>Assumptions, Methodology &amp; Sensitivity</t>
        </is>
      </c>
    </row>
    <row r="4" ht="45" customHeight="1">
      <c r="B4" s="26" t="inlineStr">
        <is>
          <t>MSRP</t>
        </is>
      </c>
      <c r="C4" s="16" t="inlineStr">
        <is>
          <t>Retailer follows MSRP; retailer assumes responsibility for markdowns (No markdown deductions applied by brand).</t>
        </is>
      </c>
    </row>
    <row r="5" ht="45" customHeight="1">
      <c r="B5" s="26" t="inlineStr">
        <is>
          <t>Cash Receipts</t>
        </is>
      </c>
      <c r="C5" s="16" t="inlineStr">
        <is>
          <t>Computed from wholesale revenue. Net 30 shifts receipts by 1 quarter. Net 60 shifts by 2 quarters. Total receipts equal annual wholesale revenue.</t>
        </is>
      </c>
    </row>
    <row r="6" ht="45" customHeight="1">
      <c r="B6" s="26" t="inlineStr">
        <is>
          <t>Sensitivity Note</t>
        </is>
      </c>
      <c r="C6" s="16" t="inlineStr">
        <is>
          <t>Changes in retailer margin within 40%-50% significantly impact baseline revenue, while marketing allowance changes within 0%-4% linearly affect the Net Wholesale Revenue after Marketing Allowance.</t>
        </is>
      </c>
    </row>
  </sheetData>
  <mergeCells count="4">
    <mergeCell ref="C6:F6"/>
    <mergeCell ref="C5:F5"/>
    <mergeCell ref="C4:F4"/>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2026-05-12T14:22:10Z</dcterms:created>
  <dcterms:modified xmlns:dcterms="http://purl.org/dc/terms/" xmlns:xsi="http://www.w3.org/2001/XMLSchema-instance" xsi:type="dcterms:W3CDTF">2026-05-12T14:22:10Z</dcterms:modified>
</cp:coreProperties>
</file>